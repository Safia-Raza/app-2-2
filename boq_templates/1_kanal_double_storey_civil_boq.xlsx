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</sheets>
  <definedNames>
    <definedName name="_xlnm._FilterDatabase" localSheetId="0" hidden="1">'BOQ'!$A$10:$J$42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1 Kanal House (Civil Works Only)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5445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10890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Item Code</t>
        </is>
      </c>
      <c r="B10" s="4" t="inlineStr">
        <is>
          <t>Section</t>
        </is>
      </c>
      <c r="C10" s="4" t="inlineStr">
        <is>
          <t>Description</t>
        </is>
      </c>
      <c r="D10" s="4" t="inlineStr">
        <is>
          <t>Unit</t>
        </is>
      </c>
      <c r="E10" s="4" t="inlineStr">
        <is>
          <t>Qty</t>
        </is>
      </c>
      <c r="F10" s="4" t="inlineStr">
        <is>
          <t>Unit Rate (PKR)</t>
        </is>
      </c>
      <c r="G10" s="4" t="inlineStr">
        <is>
          <t>Amount (PKR)</t>
        </is>
      </c>
      <c r="H10" s="4" t="inlineStr">
        <is>
          <t>Contractor Qty</t>
        </is>
      </c>
      <c r="I10" s="4" t="inlineStr">
        <is>
          <t>Consultant Verified</t>
        </is>
      </c>
      <c r="J10" s="4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2" t="n"/>
      <c r="G11" s="2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2" t="n"/>
      <c r="G12" s="2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2" t="n"/>
      <c r="G13" s="2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2" t="n"/>
      <c r="G14" s="2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4.84</v>
      </c>
      <c r="F15" s="2" t="n"/>
      <c r="G15" s="2">
        <f>E15*F15</f>
        <v/>
      </c>
      <c r="H15" s="2" t="n">
        <v>4.84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3146</v>
      </c>
      <c r="F16" s="2" t="n"/>
      <c r="G16" s="2">
        <f>E16*F16</f>
        <v/>
      </c>
      <c r="H16" s="2" t="n">
        <v>3146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2420</v>
      </c>
      <c r="F17" s="2" t="n"/>
      <c r="G17" s="2">
        <f>E17*F17</f>
        <v/>
      </c>
      <c r="H17" s="2" t="n">
        <v>2420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459.8</v>
      </c>
      <c r="F18" s="2" t="n"/>
      <c r="G18" s="2">
        <f>E18*F18</f>
        <v/>
      </c>
      <c r="H18" s="2" t="n">
        <v>459.8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5082</v>
      </c>
      <c r="F19" s="2" t="n"/>
      <c r="G19" s="2">
        <f>E19*F19</f>
        <v/>
      </c>
      <c r="H19" s="2" t="n">
        <v>5082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70180</v>
      </c>
      <c r="F20" s="2" t="n"/>
      <c r="G20" s="2">
        <f>E20*F20</f>
        <v/>
      </c>
      <c r="H20" s="2" t="n">
        <v>70180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34848</v>
      </c>
      <c r="F21" s="2" t="n"/>
      <c r="G21" s="2">
        <f>E21*F21</f>
        <v/>
      </c>
      <c r="H21" s="2" t="n">
        <v>34848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18876</v>
      </c>
      <c r="F22" s="2" t="n"/>
      <c r="G22" s="2">
        <f>E22*F22</f>
        <v/>
      </c>
      <c r="H22" s="2" t="n">
        <v>18876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2032.8</v>
      </c>
      <c r="F23" s="2" t="n"/>
      <c r="G23" s="2">
        <f>E23*F23</f>
        <v/>
      </c>
      <c r="H23" s="2" t="n">
        <v>2032.8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89540</v>
      </c>
      <c r="F24" s="2" t="n"/>
      <c r="G24" s="2">
        <f>E24*F24</f>
        <v/>
      </c>
      <c r="H24" s="2" t="n">
        <v>89540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10890</v>
      </c>
      <c r="F25" s="2" t="n"/>
      <c r="G25" s="2">
        <f>E25*F25</f>
        <v/>
      </c>
      <c r="H25" s="2" t="n">
        <v>10890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10890</v>
      </c>
      <c r="F26" s="2" t="n"/>
      <c r="G26" s="2">
        <f>E26*F26</f>
        <v/>
      </c>
      <c r="H26" s="2" t="n">
        <v>10890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2" t="n"/>
      <c r="G27" s="2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1064.8</v>
      </c>
      <c r="F28" s="2" t="n"/>
      <c r="G28" s="2">
        <f>E28*F28</f>
        <v/>
      </c>
      <c r="H28" s="2" t="n">
        <v>1064.8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8954</v>
      </c>
      <c r="F29" s="2" t="n"/>
      <c r="G29" s="2">
        <f>E29*F29</f>
        <v/>
      </c>
      <c r="H29" s="2" t="n">
        <v>8954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6534</v>
      </c>
      <c r="F30" s="2" t="n"/>
      <c r="G30" s="2">
        <f>E30*F30</f>
        <v/>
      </c>
      <c r="H30" s="2" t="n">
        <v>6534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77440</v>
      </c>
      <c r="F31" s="2" t="n"/>
      <c r="G31" s="2">
        <f>E31*F31</f>
        <v/>
      </c>
      <c r="H31" s="2" t="n">
        <v>77440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77440</v>
      </c>
      <c r="F32" s="2" t="n"/>
      <c r="G32" s="2">
        <f>E32*F32</f>
        <v/>
      </c>
      <c r="H32" s="2" t="n">
        <v>77440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25168</v>
      </c>
      <c r="F33" s="2" t="n"/>
      <c r="G33" s="2">
        <f>E33*F33</f>
        <v/>
      </c>
      <c r="H33" s="2" t="n">
        <v>25168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9196</v>
      </c>
      <c r="F34" s="2" t="n"/>
      <c r="G34" s="2">
        <f>E34*F34</f>
        <v/>
      </c>
      <c r="H34" s="2" t="n">
        <v>9196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87.12</v>
      </c>
      <c r="F35" s="2" t="n"/>
      <c r="G35" s="2">
        <f>E35*F35</f>
        <v/>
      </c>
      <c r="H35" s="2" t="n">
        <v>87.12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4.84</v>
      </c>
      <c r="F36" s="2" t="n"/>
      <c r="G36" s="2">
        <f>E36*F36</f>
        <v/>
      </c>
      <c r="H36" s="2" t="n">
        <v>4.84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2032.8</v>
      </c>
      <c r="F37" s="2" t="n"/>
      <c r="G37" s="2">
        <f>E37*F37</f>
        <v/>
      </c>
      <c r="H37" s="2" t="n">
        <v>2032.8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1742.4</v>
      </c>
      <c r="F38" s="2" t="n"/>
      <c r="G38" s="2">
        <f>E38*F38</f>
        <v/>
      </c>
      <c r="H38" s="2" t="n">
        <v>1742.4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4.84</v>
      </c>
      <c r="F39" s="2" t="n"/>
      <c r="G39" s="2">
        <f>E39*F39</f>
        <v/>
      </c>
      <c r="H39" s="2" t="n">
        <v>4.84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19.36</v>
      </c>
      <c r="F40" s="2" t="n"/>
      <c r="G40" s="2">
        <f>E40*F40</f>
        <v/>
      </c>
      <c r="H40" s="2" t="n">
        <v>19.36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4356</v>
      </c>
      <c r="F41" s="2" t="n"/>
      <c r="G41" s="2">
        <f>E41*F41</f>
        <v/>
      </c>
      <c r="H41" s="2" t="n">
        <v>4356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7744</v>
      </c>
      <c r="F42" s="2" t="n"/>
      <c r="G42" s="2">
        <f>E42*F42</f>
        <v/>
      </c>
      <c r="H42" s="2" t="n">
        <v>7744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1 Kanal</t>
        </is>
      </c>
    </row>
    <row r="3">
      <c r="A3" s="2" t="inlineStr">
        <is>
          <t>Plot area (sq ft)</t>
        </is>
      </c>
      <c r="B3" s="2" t="n">
        <v>5445</v>
      </c>
    </row>
    <row r="4">
      <c r="A4" s="2" t="inlineStr">
        <is>
          <t>Assumed total covered area (sq ft)</t>
        </is>
      </c>
      <c r="B4" s="2" t="n">
        <v>10890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2026-10-03T08:58:05Z</dcterms:modified>
</cp:coreProperties>
</file>